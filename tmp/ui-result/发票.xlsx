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统计" sheetId="1" state="visible" r:id="rId1"/>
    <sheet name="高铁票" sheetId="2" state="visible" r:id="rId2"/>
    <sheet name="出租票" sheetId="3" state="visible" r:id="rId3"/>
    <sheet name="住宿票" sheetId="4" state="visible" r:id="rId4"/>
    <sheet name="其他发票" sheetId="5" state="visible" r:id="rId5"/>
  </sheets>
  <definedNames>
    <definedName name="_xlnm._FilterDatabase" localSheetId="0" hidden="1">'合并统计'!$A$10:$F$19</definedName>
    <definedName name="_xlnm._FilterDatabase" localSheetId="1" hidden="1">'高铁票'!$A$1:$E$4</definedName>
    <definedName name="_xlnm._FilterDatabase" localSheetId="2" hidden="1">'出租票'!$A$1:$E$5</definedName>
    <definedName name="_xlnm._FilterDatabase" localSheetId="3" hidden="1">'住宿票'!$A$1:$E$3</definedName>
    <definedName name="_xlnm._FilterDatabase" localSheetId="4" hidden="1">'其他发票'!$A$1:$E$2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2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8" customWidth="1" min="3" max="3"/>
    <col width="14" customWidth="1" min="4" max="4"/>
    <col width="25" customWidth="1" min="5" max="5"/>
    <col width="58" customWidth="1" min="6" max="6"/>
  </cols>
  <sheetData>
    <row r="1" ht="30" customHeight="1">
      <c r="A1" s="1" t="inlineStr">
        <is>
          <t>全部发票费用统计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类别</t>
        </is>
      </c>
      <c r="B3" s="3" t="inlineStr">
        <is>
          <t>张数</t>
        </is>
      </c>
      <c r="C3" s="3" t="inlineStr">
        <is>
          <t>金额</t>
        </is>
      </c>
      <c r="D3" s="2" t="n"/>
      <c r="E3" s="2" t="n"/>
      <c r="F3" s="2" t="n"/>
    </row>
    <row r="4">
      <c r="A4" s="2" t="inlineStr">
        <is>
          <t>高铁票</t>
        </is>
      </c>
      <c r="B4" s="2">
        <f>COUNTIF($A$11:$A$19,A4)</f>
        <v/>
      </c>
      <c r="C4" s="4">
        <f>SUMIF($A$11:$A$19,A4,$D$11:$D$19)</f>
        <v/>
      </c>
      <c r="D4" s="2" t="n"/>
      <c r="E4" s="2" t="n"/>
      <c r="F4" s="2" t="n"/>
    </row>
    <row r="5">
      <c r="A5" s="2" t="inlineStr">
        <is>
          <t>出租票</t>
        </is>
      </c>
      <c r="B5" s="2">
        <f>COUNTIF($A$11:$A$19,A5)</f>
        <v/>
      </c>
      <c r="C5" s="4">
        <f>SUMIF($A$11:$A$19,A5,$D$11:$D$19)</f>
        <v/>
      </c>
      <c r="D5" s="2" t="n"/>
      <c r="E5" s="2" t="n"/>
      <c r="F5" s="2" t="n"/>
    </row>
    <row r="6">
      <c r="A6" s="2" t="inlineStr">
        <is>
          <t>住宿票</t>
        </is>
      </c>
      <c r="B6" s="2">
        <f>COUNTIF($A$11:$A$19,A6)</f>
        <v/>
      </c>
      <c r="C6" s="4">
        <f>SUMIF($A$11:$A$19,A6,$D$11:$D$19)</f>
        <v/>
      </c>
      <c r="D6" s="2" t="n"/>
      <c r="E6" s="2" t="n"/>
      <c r="F6" s="2" t="n"/>
    </row>
    <row r="7">
      <c r="A7" s="2" t="inlineStr">
        <is>
          <t>其他发票</t>
        </is>
      </c>
      <c r="B7" s="2">
        <f>COUNTIF($A$11:$A$19,A7)</f>
        <v/>
      </c>
      <c r="C7" s="4">
        <f>SUMIF($A$11:$A$19,A7,$D$11:$D$19)</f>
        <v/>
      </c>
      <c r="D7" s="2" t="n"/>
      <c r="E7" s="2" t="n"/>
      <c r="F7" s="2" t="n"/>
    </row>
    <row r="8">
      <c r="A8" s="5" t="inlineStr">
        <is>
          <t>总计</t>
        </is>
      </c>
      <c r="B8" s="5">
        <f>SUM(B4:B7)</f>
        <v/>
      </c>
      <c r="C8" s="6">
        <f>SUM(C4:C7)</f>
        <v/>
      </c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3" t="inlineStr">
        <is>
          <t>类别</t>
        </is>
      </c>
      <c r="B10" s="3" t="inlineStr">
        <is>
          <t>日期</t>
        </is>
      </c>
      <c r="C10" s="3" t="inlineStr">
        <is>
          <t>内容</t>
        </is>
      </c>
      <c r="D10" s="3" t="inlineStr">
        <is>
          <t>金额</t>
        </is>
      </c>
      <c r="E10" s="3" t="inlineStr">
        <is>
          <t>发票号</t>
        </is>
      </c>
      <c r="F10" s="3" t="inlineStr">
        <is>
          <t>文件名</t>
        </is>
      </c>
    </row>
    <row r="11" ht="32" customHeight="1">
      <c r="A11" s="2" t="inlineStr">
        <is>
          <t>出租票</t>
        </is>
      </c>
      <c r="B11" s="7" t="inlineStr">
        <is>
          <t>2026-05-19</t>
        </is>
      </c>
      <c r="C11" s="7" t="inlineStr">
        <is>
          <t>项目地点1 - 项目地点2</t>
        </is>
      </c>
      <c r="D11" s="4" t="n">
        <v>23.17</v>
      </c>
      <c r="E11" s="8" t="inlineStr">
        <is>
          <t>​26142000001115972821</t>
        </is>
      </c>
      <c r="F11" s="7" t="inlineStr">
        <is>
          <t>【哈哈出行-23.17元-1个行程】高德打车电子发票_1.pdf</t>
        </is>
      </c>
    </row>
    <row r="12" ht="32" customHeight="1">
      <c r="A12" s="2" t="inlineStr">
        <is>
          <t>出租票</t>
        </is>
      </c>
      <c r="B12" s="7" t="inlineStr">
        <is>
          <t>2026-05-19</t>
        </is>
      </c>
      <c r="C12" s="7" t="inlineStr">
        <is>
          <t>项目地点1 - 项目地点2</t>
        </is>
      </c>
      <c r="D12" s="4" t="n">
        <v>23.81</v>
      </c>
      <c r="E12" s="8" t="inlineStr">
        <is>
          <t>​26117000001133211484</t>
        </is>
      </c>
      <c r="F12" s="7" t="inlineStr">
        <is>
          <t>【火箭出行-23.81元-1个行程】高德打车电子发票_1.pdf</t>
        </is>
      </c>
    </row>
    <row r="13" ht="32" customHeight="1">
      <c r="A13" s="2" t="inlineStr">
        <is>
          <t>高铁票</t>
        </is>
      </c>
      <c r="B13" s="7" t="inlineStr">
        <is>
          <t>2026-05-19</t>
        </is>
      </c>
      <c r="C13" s="7" t="inlineStr">
        <is>
          <t>北京南 - 廊坊</t>
        </is>
      </c>
      <c r="D13" s="4" t="n">
        <v>33</v>
      </c>
      <c r="E13" s="8" t="inlineStr">
        <is>
          <t>​26119110010006876913</t>
        </is>
      </c>
      <c r="F13" s="7" t="inlineStr">
        <is>
          <t>26119110010006876913_1.pdf</t>
        </is>
      </c>
    </row>
    <row r="14" ht="40" customHeight="1">
      <c r="A14" s="2" t="inlineStr">
        <is>
          <t>出租票</t>
        </is>
      </c>
      <c r="B14" s="7" t="inlineStr">
        <is>
          <t>2026-07-22</t>
        </is>
      </c>
      <c r="C14" s="7" t="inlineStr">
        <is>
          <t>高铁站 - 家；项目地点1 - 项目地点2</t>
        </is>
      </c>
      <c r="D14" s="4" t="n">
        <v>33.42</v>
      </c>
      <c r="E14" s="8" t="inlineStr">
        <is>
          <t>​26362000001322695201</t>
        </is>
      </c>
      <c r="F14" s="7" t="inlineStr">
        <is>
          <t>【江南出行-33.42元-2个行程】高德打车电子发票_1.pdf</t>
        </is>
      </c>
    </row>
    <row r="15" ht="32" customHeight="1">
      <c r="A15" s="2" t="inlineStr">
        <is>
          <t>出租票</t>
        </is>
      </c>
      <c r="B15" s="7" t="inlineStr">
        <is>
          <t>2026-07-22</t>
        </is>
      </c>
      <c r="C15" s="7" t="inlineStr">
        <is>
          <t>项目所在地 - 高铁站</t>
        </is>
      </c>
      <c r="D15" s="4" t="n">
        <v>64.7</v>
      </c>
      <c r="E15" s="8" t="inlineStr">
        <is>
          <t>​26427000000571999826</t>
        </is>
      </c>
      <c r="F15" s="7" t="inlineStr">
        <is>
          <t>【风韵出行特选-64.70元-1个行程】高德打车电子发票_1.pdf</t>
        </is>
      </c>
    </row>
    <row r="16" ht="32" customHeight="1">
      <c r="A16" s="2" t="inlineStr">
        <is>
          <t>高铁票</t>
        </is>
      </c>
      <c r="B16" s="7" t="inlineStr">
        <is>
          <t>2026-07-22</t>
        </is>
      </c>
      <c r="C16" s="7" t="inlineStr">
        <is>
          <t>北京西 - 郑州东</t>
        </is>
      </c>
      <c r="D16" s="4" t="n">
        <v>371</v>
      </c>
      <c r="E16" s="8" t="inlineStr">
        <is>
          <t>​26119121152006130026</t>
        </is>
      </c>
      <c r="F16" s="7" t="inlineStr">
        <is>
          <t>26119121152006130026_1.pdf</t>
        </is>
      </c>
    </row>
    <row r="17" ht="32" customHeight="1">
      <c r="A17" s="2" t="inlineStr">
        <is>
          <t>住宿票</t>
        </is>
      </c>
      <c r="B17" s="7" t="inlineStr">
        <is>
          <t>2026-07-27</t>
        </is>
      </c>
      <c r="C17" s="7" t="inlineStr">
        <is>
          <t>北京新疆大厦</t>
        </is>
      </c>
      <c r="D17" s="4" t="n">
        <v>500</v>
      </c>
      <c r="E17" s="8" t="inlineStr">
        <is>
          <t>​26112000003099003616</t>
        </is>
      </c>
      <c r="F17" s="7" t="inlineStr">
        <is>
          <t>dzfp_26112000003099003616_中磐科工（河南）有限公司_20260727102832_1.pdf</t>
        </is>
      </c>
    </row>
    <row r="18" ht="32" customHeight="1">
      <c r="A18" s="2" t="inlineStr">
        <is>
          <t>住宿票</t>
        </is>
      </c>
      <c r="B18" s="7" t="inlineStr">
        <is>
          <t>2026-07-27</t>
        </is>
      </c>
      <c r="C18" s="7" t="inlineStr">
        <is>
          <t>上海齐鲁酒店(陆家嘴金融中心店)</t>
        </is>
      </c>
      <c r="D18" s="4" t="n">
        <v>469</v>
      </c>
      <c r="E18" s="8" t="inlineStr">
        <is>
          <t>​26127000000357075542</t>
        </is>
      </c>
      <c r="F18" s="7" t="inlineStr">
        <is>
          <t>天津西瓜旅游有限责任公司_发票金额469.00元_1.pdf</t>
        </is>
      </c>
    </row>
    <row r="19" ht="32" customHeight="1">
      <c r="A19" s="2" t="inlineStr">
        <is>
          <t>其他发票</t>
        </is>
      </c>
      <c r="B19" s="7" t="inlineStr">
        <is>
          <t>2026-07-27</t>
        </is>
      </c>
      <c r="C19" s="7" t="inlineStr">
        <is>
          <t>水果、塑料制品、茶</t>
        </is>
      </c>
      <c r="D19" s="4" t="n">
        <v>360.97</v>
      </c>
      <c r="E19" s="8" t="inlineStr">
        <is>
          <t>​26137000000336474725</t>
        </is>
      </c>
      <c r="F19" s="7" t="inlineStr">
        <is>
          <t>8b98a33e9bb84f8f8292da80ec4c3b54_1.pdf</t>
        </is>
      </c>
    </row>
  </sheetData>
  <autoFilter ref="A10:F1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24" customWidth="1" min="4" max="4"/>
    <col width="42" customWidth="1" min="5" max="5"/>
  </cols>
  <sheetData>
    <row r="1">
      <c r="A1" s="3" t="inlineStr">
        <is>
          <t>日期</t>
        </is>
      </c>
      <c r="B1" s="3" t="inlineStr">
        <is>
          <t>行程</t>
        </is>
      </c>
      <c r="C1" s="3" t="inlineStr">
        <is>
          <t>金额</t>
        </is>
      </c>
      <c r="D1" s="3" t="inlineStr">
        <is>
          <t>发票号</t>
        </is>
      </c>
      <c r="E1" s="3" t="inlineStr">
        <is>
          <t>文件名</t>
        </is>
      </c>
    </row>
    <row r="2" ht="30" customHeight="1">
      <c r="A2" s="2" t="inlineStr">
        <is>
          <t>2026-05-19</t>
        </is>
      </c>
      <c r="B2" s="7" t="inlineStr">
        <is>
          <t>北京南 - 廊坊</t>
        </is>
      </c>
      <c r="C2" s="4" t="n">
        <v>33</v>
      </c>
      <c r="D2" s="8" t="inlineStr">
        <is>
          <t>​26119110010006876913</t>
        </is>
      </c>
      <c r="E2" s="9" t="inlineStr">
        <is>
          <t>26119110010006876913_1.pdf</t>
        </is>
      </c>
    </row>
    <row r="3" ht="10" customHeight="1">
      <c r="A3" s="10" t="n"/>
      <c r="B3" s="10" t="n"/>
      <c r="C3" s="10" t="n"/>
      <c r="D3" s="10" t="n"/>
      <c r="E3" s="10" t="n"/>
    </row>
    <row r="4" ht="30" customHeight="1">
      <c r="A4" s="2" t="inlineStr">
        <is>
          <t>2026-07-22</t>
        </is>
      </c>
      <c r="B4" s="7" t="inlineStr">
        <is>
          <t>北京西 - 郑州东</t>
        </is>
      </c>
      <c r="C4" s="4" t="n">
        <v>371</v>
      </c>
      <c r="D4" s="8" t="inlineStr">
        <is>
          <t>​26119121152006130026</t>
        </is>
      </c>
      <c r="E4" s="9" t="inlineStr">
        <is>
          <t>26119121152006130026_1.pdf</t>
        </is>
      </c>
    </row>
    <row r="5">
      <c r="A5" s="5" t="n"/>
      <c r="B5" s="5" t="inlineStr">
        <is>
          <t>合计</t>
        </is>
      </c>
      <c r="C5" s="6">
        <f>SUM(C2:C4)</f>
        <v/>
      </c>
      <c r="D5" s="5" t="n"/>
      <c r="E5" s="5" t="n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12" customWidth="1" min="3" max="3"/>
    <col width="24" customWidth="1" min="4" max="4"/>
    <col width="58" customWidth="1" min="5" max="5"/>
  </cols>
  <sheetData>
    <row r="1">
      <c r="A1" s="3" t="inlineStr">
        <is>
          <t>日期</t>
        </is>
      </c>
      <c r="B1" s="3" t="inlineStr">
        <is>
          <t>行程</t>
        </is>
      </c>
      <c r="C1" s="3" t="inlineStr">
        <is>
          <t>金额</t>
        </is>
      </c>
      <c r="D1" s="3" t="inlineStr">
        <is>
          <t>发票号</t>
        </is>
      </c>
      <c r="E1" s="3" t="inlineStr">
        <is>
          <t>文件名</t>
        </is>
      </c>
    </row>
    <row r="2" ht="32" customHeight="1">
      <c r="A2" s="7" t="inlineStr">
        <is>
          <t>2026-05-19</t>
        </is>
      </c>
      <c r="B2" s="7" t="inlineStr">
        <is>
          <t>项目地点1 - 项目地点2</t>
        </is>
      </c>
      <c r="C2" s="4" t="n">
        <v>23.17</v>
      </c>
      <c r="D2" s="8" t="inlineStr">
        <is>
          <t>​26142000001115972821</t>
        </is>
      </c>
      <c r="E2" s="9" t="inlineStr">
        <is>
          <t>【哈哈出行-23.17元-1个行程】高德打车电子发票_1.pdf</t>
        </is>
      </c>
    </row>
    <row r="3" ht="32" customHeight="1">
      <c r="A3" s="7" t="inlineStr">
        <is>
          <t>2026-05-19</t>
        </is>
      </c>
      <c r="B3" s="7" t="inlineStr">
        <is>
          <t>项目地点1 - 项目地点2</t>
        </is>
      </c>
      <c r="C3" s="4" t="n">
        <v>23.81</v>
      </c>
      <c r="D3" s="8" t="inlineStr">
        <is>
          <t>​26117000001133211484</t>
        </is>
      </c>
      <c r="E3" s="9" t="inlineStr">
        <is>
          <t>【火箭出行-23.81元-1个行程】高德打车电子发票_1.pdf</t>
        </is>
      </c>
    </row>
    <row r="4" ht="40" customHeight="1">
      <c r="A4" s="7" t="inlineStr">
        <is>
          <t>2026-07-22</t>
        </is>
      </c>
      <c r="B4" s="7" t="inlineStr">
        <is>
          <t>高铁站 - 家；项目地点1 - 项目地点2</t>
        </is>
      </c>
      <c r="C4" s="4" t="n">
        <v>33.42</v>
      </c>
      <c r="D4" s="8" t="inlineStr">
        <is>
          <t>​26362000001322695201</t>
        </is>
      </c>
      <c r="E4" s="9" t="inlineStr">
        <is>
          <t>【江南出行-33.42元-2个行程】高德打车电子发票_1.pdf</t>
        </is>
      </c>
    </row>
    <row r="5" ht="32" customHeight="1">
      <c r="A5" s="7" t="inlineStr">
        <is>
          <t>2026-07-22</t>
        </is>
      </c>
      <c r="B5" s="7" t="inlineStr">
        <is>
          <t>项目所在地 - 高铁站</t>
        </is>
      </c>
      <c r="C5" s="4" t="n">
        <v>64.7</v>
      </c>
      <c r="D5" s="8" t="inlineStr">
        <is>
          <t>​26427000000571999826</t>
        </is>
      </c>
      <c r="E5" s="9" t="inlineStr">
        <is>
          <t>【风韵出行特选-64.70元-1个行程】高德打车电子发票_1.pdf</t>
        </is>
      </c>
    </row>
    <row r="6">
      <c r="A6" s="5" t="n"/>
      <c r="B6" s="5" t="inlineStr">
        <is>
          <t>合计</t>
        </is>
      </c>
      <c r="C6" s="6">
        <f>SUM(C2:C5)</f>
        <v/>
      </c>
      <c r="D6" s="5" t="n"/>
      <c r="E6" s="5" t="n"/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24" customWidth="1" min="4" max="4"/>
    <col width="58" customWidth="1" min="5" max="5"/>
  </cols>
  <sheetData>
    <row r="1">
      <c r="A1" s="3" t="inlineStr">
        <is>
          <t>日期</t>
        </is>
      </c>
      <c r="B1" s="3" t="inlineStr">
        <is>
          <t>酒店</t>
        </is>
      </c>
      <c r="C1" s="3" t="inlineStr">
        <is>
          <t>金额</t>
        </is>
      </c>
      <c r="D1" s="3" t="inlineStr">
        <is>
          <t>发票号</t>
        </is>
      </c>
      <c r="E1" s="3" t="inlineStr">
        <is>
          <t>文件名</t>
        </is>
      </c>
    </row>
    <row r="2" ht="32" customHeight="1">
      <c r="A2" s="7" t="inlineStr">
        <is>
          <t>2026-07-27</t>
        </is>
      </c>
      <c r="B2" s="7" t="inlineStr">
        <is>
          <t>北京新疆大厦</t>
        </is>
      </c>
      <c r="C2" s="4" t="n">
        <v>500</v>
      </c>
      <c r="D2" s="8" t="inlineStr">
        <is>
          <t>​26112000003099003616</t>
        </is>
      </c>
      <c r="E2" s="9" t="inlineStr">
        <is>
          <t>dzfp_26112000003099003616_中磐科工（河南）有限公司_20260727102832_1.pdf</t>
        </is>
      </c>
    </row>
    <row r="3" ht="32" customHeight="1">
      <c r="A3" s="7" t="inlineStr">
        <is>
          <t>2026-07-27</t>
        </is>
      </c>
      <c r="B3" s="7" t="inlineStr">
        <is>
          <t>上海齐鲁酒店(陆家嘴金融中心店)</t>
        </is>
      </c>
      <c r="C3" s="4" t="n">
        <v>469</v>
      </c>
      <c r="D3" s="8" t="inlineStr">
        <is>
          <t>​26127000000357075542</t>
        </is>
      </c>
      <c r="E3" s="9" t="inlineStr">
        <is>
          <t>天津西瓜旅游有限责任公司_发票金额469.00元_1.pdf</t>
        </is>
      </c>
    </row>
    <row r="4">
      <c r="A4" s="5" t="n"/>
      <c r="B4" s="5" t="inlineStr">
        <is>
          <t>合计</t>
        </is>
      </c>
      <c r="C4" s="6">
        <f>SUM(C2:C3)</f>
        <v/>
      </c>
      <c r="D4" s="5" t="n"/>
      <c r="E4" s="5" t="n"/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24" customWidth="1" min="4" max="4"/>
    <col width="48" customWidth="1" min="5" max="5"/>
  </cols>
  <sheetData>
    <row r="1">
      <c r="A1" s="3" t="inlineStr">
        <is>
          <t>日期</t>
        </is>
      </c>
      <c r="B1" s="3" t="inlineStr">
        <is>
          <t>种类</t>
        </is>
      </c>
      <c r="C1" s="3" t="inlineStr">
        <is>
          <t>金额</t>
        </is>
      </c>
      <c r="D1" s="3" t="inlineStr">
        <is>
          <t>发票号</t>
        </is>
      </c>
      <c r="E1" s="3" t="inlineStr">
        <is>
          <t>文件名</t>
        </is>
      </c>
    </row>
    <row r="2" ht="32" customHeight="1">
      <c r="A2" s="7" t="inlineStr">
        <is>
          <t>2026-07-27</t>
        </is>
      </c>
      <c r="B2" s="7" t="inlineStr">
        <is>
          <t>水果、塑料制品、茶</t>
        </is>
      </c>
      <c r="C2" s="4" t="n">
        <v>360.97</v>
      </c>
      <c r="D2" s="8" t="inlineStr">
        <is>
          <t>​26137000000336474725</t>
        </is>
      </c>
      <c r="E2" s="9" t="inlineStr">
        <is>
          <t>8b98a33e9bb84f8f8292da80ec4c3b54_1.pdf</t>
        </is>
      </c>
    </row>
    <row r="3">
      <c r="A3" s="5" t="n"/>
      <c r="B3" s="5" t="inlineStr">
        <is>
          <t>合计</t>
        </is>
      </c>
      <c r="C3" s="6">
        <f>SUM(C2:C2)</f>
        <v/>
      </c>
      <c r="D3" s="5" t="n"/>
      <c r="E3" s="5" t="n"/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2026-08-04T01:53:21Z</dcterms:created>
  <dcterms:modified xsi:type="dcterms:W3CDTF">2026-08-04T01:53:21Z</dcterms:modified>
</cp:coreProperties>
</file>